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Dashboard" sheetId="2" r:id="rId6"/>
    <sheet state="visible" name="Form" sheetId="3" r:id="rId7"/>
    <sheet state="visible" name="Remarks" sheetId="4" r:id="rId8"/>
    <sheet state="visible" name="Employee List" sheetId="5" r:id="rId9"/>
  </sheets>
  <definedNames/>
  <calcPr/>
</workbook>
</file>

<file path=xl/sharedStrings.xml><?xml version="1.0" encoding="utf-8"?>
<sst xmlns="http://schemas.openxmlformats.org/spreadsheetml/2006/main" count="249" uniqueCount="121">
  <si>
    <t>Date</t>
  </si>
  <si>
    <t>Employee ID</t>
  </si>
  <si>
    <t>Employee Name</t>
  </si>
  <si>
    <t>Department</t>
  </si>
  <si>
    <t>In Time</t>
  </si>
  <si>
    <t>Out Time</t>
  </si>
  <si>
    <t>Work Hours</t>
  </si>
  <si>
    <t>Late Minutes</t>
  </si>
  <si>
    <t>Overtime Hours</t>
  </si>
  <si>
    <t>Status</t>
  </si>
  <si>
    <t>Remarks</t>
  </si>
  <si>
    <t>EMP008</t>
  </si>
  <si>
    <t>Sadia Rahman</t>
  </si>
  <si>
    <t>Customer Support</t>
  </si>
  <si>
    <t>Present</t>
  </si>
  <si>
    <t>Client support</t>
  </si>
  <si>
    <t>EMP011</t>
  </si>
  <si>
    <t>Ayesha Siddika</t>
  </si>
  <si>
    <t>HR</t>
  </si>
  <si>
    <t>Half Day</t>
  </si>
  <si>
    <t>Personal work</t>
  </si>
  <si>
    <t>EMP006</t>
  </si>
  <si>
    <t>Farzana Akter</t>
  </si>
  <si>
    <t>Accounts</t>
  </si>
  <si>
    <t>EMP003</t>
  </si>
  <si>
    <t>Hasan Ali</t>
  </si>
  <si>
    <t>Finance</t>
  </si>
  <si>
    <t>Late</t>
  </si>
  <si>
    <t>Month end closing</t>
  </si>
  <si>
    <t>EMP002</t>
  </si>
  <si>
    <t>Karim Hossain</t>
  </si>
  <si>
    <t>EMP001</t>
  </si>
  <si>
    <t>Rahim Ahmed</t>
  </si>
  <si>
    <t>Sales</t>
  </si>
  <si>
    <t>Team meeting</t>
  </si>
  <si>
    <t>EMP013</t>
  </si>
  <si>
    <t>Shakil Ahmed</t>
  </si>
  <si>
    <t>IT</t>
  </si>
  <si>
    <t>System maintenance</t>
  </si>
  <si>
    <t>Task completion</t>
  </si>
  <si>
    <t>EMP005</t>
  </si>
  <si>
    <t>Tanvir Islam</t>
  </si>
  <si>
    <t>Official work</t>
  </si>
  <si>
    <t>EMP009</t>
  </si>
  <si>
    <t>Imran Kabir</t>
  </si>
  <si>
    <t>Procurement</t>
  </si>
  <si>
    <t>EMP020</t>
  </si>
  <si>
    <t>Jannatul Ferdous</t>
  </si>
  <si>
    <t>Logistics</t>
  </si>
  <si>
    <t>Urgent task</t>
  </si>
  <si>
    <t>EMP015</t>
  </si>
  <si>
    <t>Arif Hossain</t>
  </si>
  <si>
    <t>Operations</t>
  </si>
  <si>
    <t>EMP012</t>
  </si>
  <si>
    <t>Rifat Chowdhury</t>
  </si>
  <si>
    <t>EMP010</t>
  </si>
  <si>
    <t>Mehedi Hasan</t>
  </si>
  <si>
    <t>EMP004</t>
  </si>
  <si>
    <t>Nusrat Jahan</t>
  </si>
  <si>
    <t>Marketing</t>
  </si>
  <si>
    <t>EMP007</t>
  </si>
  <si>
    <t>Mahmud Hasan</t>
  </si>
  <si>
    <t>EMPLOYEE ATTENDANCE DASHBOARD</t>
  </si>
  <si>
    <t>Total Records</t>
  </si>
  <si>
    <t>Present Count</t>
  </si>
  <si>
    <t xml:space="preserve">Late Count </t>
  </si>
  <si>
    <t>Total Overtime
Hours</t>
  </si>
  <si>
    <t>Average Work
Hours</t>
  </si>
  <si>
    <t>Status Chart</t>
  </si>
  <si>
    <t>Department-wise
Attendance</t>
  </si>
  <si>
    <t>Count</t>
  </si>
  <si>
    <t>Employee Attendance 
Entry Form</t>
  </si>
  <si>
    <t>Situation</t>
  </si>
  <si>
    <t>Remarks Example</t>
  </si>
  <si>
    <t>স্বাভাবিক উপস্থিতি</t>
  </si>
  <si>
    <t>(Blank) বা -</t>
  </si>
  <si>
    <t>20–30 মিনিট বেশি কাজ</t>
  </si>
  <si>
    <t>Overtime</t>
  </si>
  <si>
    <t>Traffic Jam</t>
  </si>
  <si>
    <t>কাজ শেষ করতে হয়েছে</t>
  </si>
  <si>
    <t>Task Completion</t>
  </si>
  <si>
    <t>Heavy Rain</t>
  </si>
  <si>
    <t>জরুরি কাজ</t>
  </si>
  <si>
    <t>Urgent Task</t>
  </si>
  <si>
    <t>Medical Appointment</t>
  </si>
  <si>
    <t>মাসের শেষের রিপোর্ট</t>
  </si>
  <si>
    <t>Month-End Closing</t>
  </si>
  <si>
    <t>Personal Work</t>
  </si>
  <si>
    <t>ক্লায়েন্টের কাজ</t>
  </si>
  <si>
    <t>Client Support</t>
  </si>
  <si>
    <t>Sick Leave (Half Day)</t>
  </si>
  <si>
    <t>টিম মিটিং</t>
  </si>
  <si>
    <t>Team Meeting</t>
  </si>
  <si>
    <t>Month End Closing</t>
  </si>
  <si>
    <t>সিস্টেম আপডেট</t>
  </si>
  <si>
    <t>System Maintenance</t>
  </si>
  <si>
    <t>Urgent Client Work</t>
  </si>
  <si>
    <t>অতিরিক্ত অফিসিয়াল কাজ</t>
  </si>
  <si>
    <t>Official Work</t>
  </si>
  <si>
    <t>Early Leave</t>
  </si>
  <si>
    <t>Family Emergency</t>
  </si>
  <si>
    <t>ম্যানেজারের অনুরোধে</t>
  </si>
  <si>
    <t>Manager's Request</t>
  </si>
  <si>
    <t>Work From Home</t>
  </si>
  <si>
    <t>WFH</t>
  </si>
  <si>
    <t>Official Visit</t>
  </si>
  <si>
    <t>Client Meeting</t>
  </si>
  <si>
    <t>Training</t>
  </si>
  <si>
    <t>Internal Training</t>
  </si>
  <si>
    <t>Shift Start</t>
  </si>
  <si>
    <t>Shift End</t>
  </si>
  <si>
    <t>EMP014</t>
  </si>
  <si>
    <t>Nafisa Islam</t>
  </si>
  <si>
    <t>EMP016</t>
  </si>
  <si>
    <t>Sumaiya Akter</t>
  </si>
  <si>
    <t>EMP017</t>
  </si>
  <si>
    <t>Fahim Ahmed</t>
  </si>
  <si>
    <t>EMP018</t>
  </si>
  <si>
    <t>Tania Sultana</t>
  </si>
  <si>
    <t>EMP019</t>
  </si>
  <si>
    <t>Sabbir Rahman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</si>
</sst>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4.0"/>
      <color rgb="FF000000"/>
      <name val="Georgia"/>
    </font>
    <font>
      <color rgb="FFFFFFFF"/>
      <name val="Arial"/>
      <scheme val="minor"/>
    </font>
    <font>
      <b/>
      <sz val="14.0"/>
      <color rgb="FFFFFFFF"/>
      <name val="Playfair Display"/>
    </font>
    <font/>
    <font>
      <b/>
      <sz val="18.0"/>
      <color theme="1"/>
      <name val="Arial"/>
      <scheme val="minor"/>
    </font>
    <font>
      <b/>
      <sz val="12.0"/>
      <color theme="1"/>
      <name val="Arial"/>
      <scheme val="minor"/>
    </font>
    <font>
      <b/>
      <color rgb="FF000000"/>
      <name val="Arial"/>
      <scheme val="minor"/>
    </font>
    <font>
      <b/>
      <sz val="14.0"/>
      <color rgb="FF000000"/>
      <name val="Nunito"/>
    </font>
    <font>
      <b/>
      <color rgb="FFFFFFFF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C9ADA7"/>
        <bgColor rgb="FFC9ADA7"/>
      </patternFill>
    </fill>
    <fill>
      <patternFill patternType="solid">
        <fgColor rgb="FFFEFAE0"/>
        <bgColor rgb="FFFEFAE0"/>
      </patternFill>
    </fill>
    <fill>
      <patternFill patternType="solid">
        <fgColor rgb="FFD9D9D9"/>
        <bgColor rgb="FFD9D9D9"/>
      </patternFill>
    </fill>
    <fill>
      <patternFill patternType="solid">
        <fgColor rgb="FFD4A373"/>
        <bgColor rgb="FFD4A373"/>
      </patternFill>
    </fill>
    <fill>
      <patternFill patternType="solid">
        <fgColor rgb="FFE7BC91"/>
        <bgColor rgb="FFE7BC91"/>
      </patternFill>
    </fill>
    <fill>
      <patternFill patternType="solid">
        <fgColor rgb="FFF2E8CF"/>
        <bgColor rgb="FFF2E8CF"/>
      </patternFill>
    </fill>
    <fill>
      <patternFill patternType="solid">
        <fgColor rgb="FFCCD5AE"/>
        <bgColor rgb="FFCCD5AE"/>
      </patternFill>
    </fill>
    <fill>
      <patternFill patternType="solid">
        <fgColor rgb="FFE9EDC9"/>
        <bgColor rgb="FFE9EDC9"/>
      </patternFill>
    </fill>
    <fill>
      <patternFill patternType="solid">
        <fgColor rgb="FF4A4E69"/>
        <bgColor rgb="FF4A4E69"/>
      </patternFill>
    </fill>
    <fill>
      <patternFill patternType="solid">
        <fgColor rgb="FFF2E9E4"/>
        <bgColor rgb="FFF2E9E4"/>
      </patternFill>
    </fill>
    <fill>
      <patternFill patternType="solid">
        <fgColor rgb="FF9A8C98"/>
        <bgColor rgb="FF9A8C98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4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 vertical="center"/>
    </xf>
    <xf borderId="0" fillId="4" fontId="2" numFmtId="0" xfId="0" applyFill="1" applyFont="1"/>
    <xf borderId="0" fillId="4" fontId="4" numFmtId="0" xfId="0" applyFont="1"/>
    <xf borderId="1" fillId="5" fontId="5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3" fillId="6" fontId="7" numFmtId="0" xfId="0" applyAlignment="1" applyBorder="1" applyFill="1" applyFont="1">
      <alignment horizontal="center" vertical="center"/>
    </xf>
    <xf borderId="3" fillId="6" fontId="7" numFmtId="4" xfId="0" applyAlignment="1" applyBorder="1" applyFont="1" applyNumberForma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0" fillId="7" fontId="8" numFmtId="0" xfId="0" applyAlignment="1" applyFill="1" applyFont="1">
      <alignment horizontal="center" readingOrder="0" vertical="center"/>
    </xf>
    <xf borderId="7" fillId="8" fontId="1" numFmtId="0" xfId="0" applyAlignment="1" applyBorder="1" applyFill="1" applyFont="1">
      <alignment horizontal="center" readingOrder="0"/>
    </xf>
    <xf borderId="7" fillId="9" fontId="9" numFmtId="0" xfId="0" applyAlignment="1" applyBorder="1" applyFill="1" applyFont="1">
      <alignment readingOrder="0"/>
    </xf>
    <xf borderId="7" fillId="9" fontId="9" numFmtId="0" xfId="0" applyBorder="1" applyFont="1"/>
    <xf borderId="0" fillId="10" fontId="2" numFmtId="0" xfId="0" applyFill="1" applyFont="1"/>
    <xf borderId="0" fillId="10" fontId="2" numFmtId="0" xfId="0" applyAlignment="1" applyFont="1">
      <alignment readingOrder="0"/>
    </xf>
    <xf borderId="0" fillId="11" fontId="10" numFmtId="0" xfId="0" applyAlignment="1" applyFill="1" applyFont="1">
      <alignment horizontal="center" readingOrder="0"/>
    </xf>
    <xf borderId="0" fillId="12" fontId="11" numFmtId="0" xfId="0" applyAlignment="1" applyFill="1" applyFont="1">
      <alignment horizontal="center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2" fontId="1" numFmtId="165" xfId="0" applyAlignment="1" applyFont="1" applyNumberFormat="1">
      <alignment readingOrder="0"/>
    </xf>
    <xf borderId="0" fillId="2" fontId="1" numFmtId="4" xfId="0" applyFont="1" applyNumberFormat="1"/>
    <xf borderId="0" fillId="10" fontId="1" numFmtId="0" xfId="0" applyFont="1"/>
    <xf borderId="0" fillId="12" fontId="1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13" fontId="1" numFmtId="0" xfId="0" applyAlignment="1" applyFill="1" applyFont="1">
      <alignment horizontal="center"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Arial black"/>
              </a:defRPr>
            </a:pPr>
            <a:r>
              <a:rPr b="1" sz="1800">
                <a:solidFill>
                  <a:srgbClr val="000000"/>
                </a:solidFill>
                <a:latin typeface="Arial black"/>
              </a:rPr>
              <a:t>Attendance Status</a:t>
            </a:r>
          </a:p>
        </c:rich>
      </c:tx>
      <c:layout>
        <c:manualLayout>
          <c:xMode val="edge"/>
          <c:yMode val="edge"/>
          <c:x val="0.046086956521739136"/>
          <c:y val="0.053521126760563385"/>
        </c:manualLayout>
      </c:layout>
      <c:overlay val="0"/>
    </c:title>
    <c:plotArea>
      <c:layout/>
      <c:doughnutChart>
        <c:varyColors val="1"/>
        <c:ser>
          <c:idx val="0"/>
          <c:order val="0"/>
          <c:tx>
            <c:strRef>
              <c:f>Dashboard!$B$11:$B$13</c:f>
            </c:strRef>
          </c:tx>
          <c:dPt>
            <c:idx val="0"/>
            <c:explosion val="0"/>
            <c:spPr>
              <a:solidFill>
                <a:srgbClr val="603808"/>
              </a:solidFill>
            </c:spPr>
          </c:dPt>
          <c:dPt>
            <c:idx val="1"/>
            <c:spPr>
              <a:solidFill>
                <a:srgbClr val="8B5E34"/>
              </a:solidFill>
            </c:spPr>
          </c:dPt>
          <c:dPt>
            <c:idx val="2"/>
            <c:spPr>
              <a:solidFill>
                <a:srgbClr val="D4A27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Dashboard!$A$14:$A$16</c:f>
            </c:strRef>
          </c:cat>
          <c:val>
            <c:numRef>
              <c:f>Dashboard!$B$14:$B$16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Georgia"/>
            </a:defRPr>
          </a:pPr>
        </a:p>
      </c:txPr>
    </c:legend>
    <c:plotVisOnly val="1"/>
  </c:chart>
  <c:spPr>
    <a:solidFill>
      <a:srgbClr val="FEFAE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chemeClr val="dk1"/>
                </a:solidFill>
                <a:latin typeface="Arial black"/>
              </a:defRPr>
            </a:pPr>
            <a:r>
              <a:rPr b="0" sz="1800">
                <a:solidFill>
                  <a:schemeClr val="dk1"/>
                </a:solidFill>
                <a:latin typeface="Arial black"/>
              </a:rPr>
              <a:t>Department-wise Attendance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Dashboard!$I$11:$I$13</c:f>
            </c:strRef>
          </c:tx>
          <c:spPr>
            <a:solidFill>
              <a:srgbClr val="D4A276"/>
            </a:solidFill>
            <a:ln cmpd="sng" w="19050">
              <a:noFill/>
              <a:prstDash val="sysDot"/>
            </a:ln>
          </c:spPr>
          <c:dPt>
            <c:idx val="0"/>
          </c:dPt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Dashboard!$H$14:$H$19</c:f>
            </c:strRef>
          </c:cat>
          <c:val>
            <c:numRef>
              <c:f>Dashboard!$I$14:$I$19</c:f>
              <c:numCache/>
            </c:numRef>
          </c:val>
        </c:ser>
        <c:axId val="690052943"/>
        <c:axId val="113404294"/>
      </c:barChart>
      <c:catAx>
        <c:axId val="6900529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04294"/>
      </c:catAx>
      <c:valAx>
        <c:axId val="11340429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052943"/>
        <c:crosses val="max"/>
      </c:valAx>
    </c:plotArea>
    <c:plotVisOnly val="1"/>
  </c:chart>
  <c:spPr>
    <a:solidFill>
      <a:srgbClr val="FEFAE0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9</xdr:row>
      <xdr:rowOff>190500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161925</xdr:colOff>
      <xdr:row>9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</xdr:colOff>
      <xdr:row>26</xdr:row>
      <xdr:rowOff>123825</xdr:rowOff>
    </xdr:from>
    <xdr:ext cx="1714500" cy="561975"/>
    <xdr:sp>
      <xdr:nvSpPr>
        <xdr:cNvPr id="3" name="Shape 3"/>
        <xdr:cNvSpPr/>
      </xdr:nvSpPr>
      <xdr:spPr>
        <a:xfrm>
          <a:off x="2620700" y="1014150"/>
          <a:ext cx="1696800" cy="542100"/>
        </a:xfrm>
        <a:prstGeom prst="bevel">
          <a:avLst>
            <a:gd fmla="val 12500" name="adj"/>
          </a:avLst>
        </a:prstGeom>
        <a:solidFill>
          <a:srgbClr val="EAD1D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latin typeface="Oswald"/>
              <a:ea typeface="Oswald"/>
              <a:cs typeface="Oswald"/>
              <a:sym typeface="Oswald"/>
            </a:rPr>
            <a:t>SUBMIT</a:t>
          </a:r>
          <a:endParaRPr sz="1400">
            <a:latin typeface="Oswald"/>
            <a:ea typeface="Oswald"/>
            <a:cs typeface="Oswald"/>
            <a:sym typeface="Oswald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9" max="9" width="19.25"/>
    <col customWidth="1" min="10" max="10" width="16.5"/>
    <col customWidth="1" min="11" max="11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46197.0</v>
      </c>
      <c r="B2" s="3" t="s">
        <v>11</v>
      </c>
      <c r="C2" s="3" t="s">
        <v>12</v>
      </c>
      <c r="D2" s="3" t="s">
        <v>13</v>
      </c>
      <c r="E2" s="4">
        <v>0.40625</v>
      </c>
      <c r="F2" s="4">
        <v>0.8333333333333334</v>
      </c>
      <c r="G2" s="5">
        <v>10.25</v>
      </c>
      <c r="H2" s="3">
        <v>0.0</v>
      </c>
      <c r="I2" s="3">
        <v>1.0</v>
      </c>
      <c r="J2" s="3" t="s">
        <v>14</v>
      </c>
      <c r="K2" s="6" t="s">
        <v>15</v>
      </c>
      <c r="L2" s="5"/>
    </row>
    <row r="3">
      <c r="A3" s="2">
        <v>46196.0</v>
      </c>
      <c r="B3" s="3" t="s">
        <v>16</v>
      </c>
      <c r="C3" s="3" t="s">
        <v>17</v>
      </c>
      <c r="D3" s="3" t="s">
        <v>18</v>
      </c>
      <c r="E3" s="4">
        <v>0.3958333333333333</v>
      </c>
      <c r="F3" s="4">
        <v>0.5416666666666666</v>
      </c>
      <c r="G3" s="5">
        <v>3.4999999999999996</v>
      </c>
      <c r="H3" s="3">
        <v>0.0</v>
      </c>
      <c r="I3" s="3">
        <v>0.0</v>
      </c>
      <c r="J3" s="3" t="s">
        <v>19</v>
      </c>
      <c r="K3" s="6" t="s">
        <v>20</v>
      </c>
      <c r="L3" s="5"/>
    </row>
    <row r="4">
      <c r="A4" s="2">
        <v>46196.0</v>
      </c>
      <c r="B4" s="3" t="s">
        <v>21</v>
      </c>
      <c r="C4" s="3" t="s">
        <v>22</v>
      </c>
      <c r="D4" s="3" t="s">
        <v>23</v>
      </c>
      <c r="E4" s="4">
        <v>0.3229166666666667</v>
      </c>
      <c r="F4" s="4">
        <v>0.8333333333333334</v>
      </c>
      <c r="G4" s="5">
        <v>12.250000000000002</v>
      </c>
      <c r="H4" s="3">
        <v>0.0</v>
      </c>
      <c r="I4" s="3">
        <v>3.0</v>
      </c>
      <c r="J4" s="3" t="s">
        <v>14</v>
      </c>
      <c r="K4" s="6"/>
      <c r="L4" s="5"/>
    </row>
    <row r="5">
      <c r="A5" s="2">
        <v>46196.0</v>
      </c>
      <c r="B5" s="3" t="s">
        <v>24</v>
      </c>
      <c r="C5" s="3" t="s">
        <v>25</v>
      </c>
      <c r="D5" s="3" t="s">
        <v>26</v>
      </c>
      <c r="E5" s="4">
        <v>0.375</v>
      </c>
      <c r="F5" s="4">
        <v>0.8020833333333334</v>
      </c>
      <c r="G5" s="5">
        <v>10.25</v>
      </c>
      <c r="H5" s="3">
        <v>30.0</v>
      </c>
      <c r="I5" s="3">
        <v>1.75</v>
      </c>
      <c r="J5" s="3" t="s">
        <v>27</v>
      </c>
      <c r="K5" s="6" t="s">
        <v>28</v>
      </c>
      <c r="L5" s="5"/>
    </row>
    <row r="6">
      <c r="A6" s="2">
        <v>46196.0</v>
      </c>
      <c r="B6" s="3" t="s">
        <v>29</v>
      </c>
      <c r="C6" s="3" t="s">
        <v>30</v>
      </c>
      <c r="D6" s="3" t="s">
        <v>18</v>
      </c>
      <c r="E6" s="4">
        <v>0.3888888888888889</v>
      </c>
      <c r="F6" s="4">
        <v>0.78125</v>
      </c>
      <c r="G6" s="5">
        <v>9.416666666666666</v>
      </c>
      <c r="H6" s="3">
        <v>0.0</v>
      </c>
      <c r="I6" s="3">
        <v>0.25</v>
      </c>
      <c r="J6" s="3" t="s">
        <v>14</v>
      </c>
      <c r="K6" s="6"/>
      <c r="L6" s="5"/>
    </row>
    <row r="7">
      <c r="A7" s="2">
        <v>46226.0</v>
      </c>
      <c r="B7" s="3" t="s">
        <v>31</v>
      </c>
      <c r="C7" s="3" t="s">
        <v>32</v>
      </c>
      <c r="D7" s="3" t="s">
        <v>33</v>
      </c>
      <c r="E7" s="4">
        <v>0.3680555555555556</v>
      </c>
      <c r="F7" s="4">
        <v>0.8125</v>
      </c>
      <c r="G7" s="5">
        <v>10.666666666666666</v>
      </c>
      <c r="H7" s="3">
        <v>0.0</v>
      </c>
      <c r="I7" s="3">
        <v>1.5</v>
      </c>
      <c r="J7" s="3" t="s">
        <v>14</v>
      </c>
      <c r="K7" s="6" t="s">
        <v>34</v>
      </c>
      <c r="L7" s="5"/>
    </row>
    <row r="8">
      <c r="A8" s="2">
        <v>46195.0</v>
      </c>
      <c r="B8" s="3" t="s">
        <v>35</v>
      </c>
      <c r="C8" s="3" t="s">
        <v>36</v>
      </c>
      <c r="D8" s="3" t="s">
        <v>37</v>
      </c>
      <c r="E8" s="4">
        <v>0.375</v>
      </c>
      <c r="F8" s="4">
        <v>0.8541666666666666</v>
      </c>
      <c r="G8" s="5">
        <v>11.5</v>
      </c>
      <c r="H8" s="3">
        <v>0.0</v>
      </c>
      <c r="I8" s="3">
        <v>2.5</v>
      </c>
      <c r="J8" s="3" t="s">
        <v>14</v>
      </c>
      <c r="K8" s="6" t="s">
        <v>38</v>
      </c>
      <c r="L8" s="5"/>
    </row>
    <row r="9">
      <c r="A9" s="2">
        <v>46195.0</v>
      </c>
      <c r="B9" s="3" t="s">
        <v>11</v>
      </c>
      <c r="C9" s="3" t="s">
        <v>12</v>
      </c>
      <c r="D9" s="3" t="s">
        <v>13</v>
      </c>
      <c r="E9" s="4">
        <v>0.4166666666666667</v>
      </c>
      <c r="F9" s="4">
        <v>0.875</v>
      </c>
      <c r="G9" s="5">
        <v>11.0</v>
      </c>
      <c r="H9" s="3">
        <v>0.0</v>
      </c>
      <c r="I9" s="3">
        <v>2.0</v>
      </c>
      <c r="J9" s="3" t="s">
        <v>14</v>
      </c>
      <c r="K9" s="6" t="s">
        <v>15</v>
      </c>
      <c r="L9" s="5"/>
    </row>
    <row r="10">
      <c r="A10" s="2">
        <v>46195.0</v>
      </c>
      <c r="B10" s="3" t="s">
        <v>24</v>
      </c>
      <c r="C10" s="3" t="s">
        <v>25</v>
      </c>
      <c r="D10" s="3" t="s">
        <v>26</v>
      </c>
      <c r="E10" s="4">
        <v>0.375</v>
      </c>
      <c r="F10" s="4">
        <v>0.78125</v>
      </c>
      <c r="G10" s="5">
        <v>9.75</v>
      </c>
      <c r="H10" s="3">
        <v>30.0</v>
      </c>
      <c r="I10" s="3">
        <v>1.25</v>
      </c>
      <c r="J10" s="3" t="s">
        <v>27</v>
      </c>
      <c r="K10" s="6" t="s">
        <v>39</v>
      </c>
      <c r="L10" s="5"/>
    </row>
    <row r="11">
      <c r="A11" s="2">
        <v>46195.0</v>
      </c>
      <c r="B11" s="3" t="s">
        <v>40</v>
      </c>
      <c r="C11" s="3" t="s">
        <v>41</v>
      </c>
      <c r="D11" s="3" t="s">
        <v>37</v>
      </c>
      <c r="E11" s="4">
        <v>0.375</v>
      </c>
      <c r="F11" s="4">
        <v>0.8541666666666666</v>
      </c>
      <c r="G11" s="5">
        <v>11.5</v>
      </c>
      <c r="H11" s="3">
        <v>0.0</v>
      </c>
      <c r="I11" s="3">
        <v>2.5</v>
      </c>
      <c r="J11" s="3" t="s">
        <v>14</v>
      </c>
      <c r="K11" s="6" t="s">
        <v>15</v>
      </c>
      <c r="L11" s="5"/>
    </row>
    <row r="12">
      <c r="A12" s="2">
        <v>46195.0</v>
      </c>
      <c r="B12" s="3" t="s">
        <v>29</v>
      </c>
      <c r="C12" s="3" t="s">
        <v>30</v>
      </c>
      <c r="D12" s="3" t="s">
        <v>18</v>
      </c>
      <c r="E12" s="4">
        <v>0.3888888888888889</v>
      </c>
      <c r="F12" s="4">
        <v>0.7708333333333334</v>
      </c>
      <c r="G12" s="5">
        <v>9.166666666666668</v>
      </c>
      <c r="H12" s="3">
        <v>0.0</v>
      </c>
      <c r="I12" s="3">
        <v>0.0</v>
      </c>
      <c r="J12" s="3" t="s">
        <v>14</v>
      </c>
      <c r="K12" s="6"/>
      <c r="L12" s="5"/>
    </row>
    <row r="13">
      <c r="A13" s="2">
        <v>46195.0</v>
      </c>
      <c r="B13" s="3" t="s">
        <v>31</v>
      </c>
      <c r="C13" s="3" t="s">
        <v>32</v>
      </c>
      <c r="D13" s="3" t="s">
        <v>33</v>
      </c>
      <c r="E13" s="4">
        <v>0.3854166666666667</v>
      </c>
      <c r="F13" s="4">
        <v>0.8333333333333334</v>
      </c>
      <c r="G13" s="5">
        <v>10.75</v>
      </c>
      <c r="H13" s="3">
        <v>15.0</v>
      </c>
      <c r="I13" s="3">
        <v>2.0</v>
      </c>
      <c r="J13" s="3" t="s">
        <v>27</v>
      </c>
      <c r="K13" s="6" t="s">
        <v>42</v>
      </c>
      <c r="L13" s="5"/>
    </row>
    <row r="14">
      <c r="A14" s="2">
        <v>46200.0</v>
      </c>
      <c r="B14" s="3" t="s">
        <v>43</v>
      </c>
      <c r="C14" s="3" t="s">
        <v>44</v>
      </c>
      <c r="D14" s="3" t="s">
        <v>45</v>
      </c>
      <c r="E14" s="4">
        <v>0.375</v>
      </c>
      <c r="F14" s="4">
        <v>0.8541666666666666</v>
      </c>
      <c r="G14" s="5">
        <v>11.5</v>
      </c>
      <c r="H14" s="3">
        <v>0.0</v>
      </c>
      <c r="I14" s="3">
        <v>2.5</v>
      </c>
      <c r="J14" s="3" t="s">
        <v>14</v>
      </c>
      <c r="K14" s="6" t="s">
        <v>34</v>
      </c>
      <c r="L14" s="5"/>
    </row>
    <row r="15">
      <c r="A15" s="2">
        <v>46199.0</v>
      </c>
      <c r="B15" s="3" t="s">
        <v>46</v>
      </c>
      <c r="C15" s="3" t="s">
        <v>47</v>
      </c>
      <c r="D15" s="3" t="s">
        <v>48</v>
      </c>
      <c r="E15" s="4">
        <v>0.3680555555555556</v>
      </c>
      <c r="F15" s="4">
        <v>0.8333333333333334</v>
      </c>
      <c r="G15" s="5">
        <v>11.166666666666668</v>
      </c>
      <c r="H15" s="3">
        <v>0.0</v>
      </c>
      <c r="I15" s="3">
        <v>2.0</v>
      </c>
      <c r="J15" s="3" t="s">
        <v>14</v>
      </c>
      <c r="K15" s="7" t="s">
        <v>49</v>
      </c>
      <c r="L15" s="5"/>
    </row>
    <row r="16">
      <c r="A16" s="2">
        <v>46168.0</v>
      </c>
      <c r="B16" s="3" t="s">
        <v>16</v>
      </c>
      <c r="C16" s="3" t="s">
        <v>17</v>
      </c>
      <c r="D16" s="3" t="s">
        <v>18</v>
      </c>
      <c r="E16" s="4">
        <v>0.4166666666666667</v>
      </c>
      <c r="F16" s="4">
        <v>0.7638888888888888</v>
      </c>
      <c r="G16" s="5">
        <v>8.333333333333332</v>
      </c>
      <c r="H16" s="3">
        <v>30.0</v>
      </c>
      <c r="I16" s="3">
        <v>0.0</v>
      </c>
      <c r="J16" s="3" t="s">
        <v>27</v>
      </c>
      <c r="K16" s="6"/>
      <c r="L16" s="5"/>
    </row>
    <row r="17">
      <c r="A17" s="2">
        <v>46197.0</v>
      </c>
      <c r="B17" s="3" t="s">
        <v>50</v>
      </c>
      <c r="C17" s="3" t="s">
        <v>51</v>
      </c>
      <c r="D17" s="3" t="s">
        <v>52</v>
      </c>
      <c r="E17" s="4">
        <v>0.375</v>
      </c>
      <c r="F17" s="4">
        <v>0.7604166666666666</v>
      </c>
      <c r="G17" s="5">
        <v>9.25</v>
      </c>
      <c r="H17" s="3">
        <v>0.0</v>
      </c>
      <c r="I17" s="3">
        <v>0.25</v>
      </c>
      <c r="J17" s="3" t="s">
        <v>14</v>
      </c>
      <c r="K17" s="6"/>
      <c r="L17" s="5"/>
    </row>
    <row r="18">
      <c r="A18" s="2">
        <v>46227.0</v>
      </c>
      <c r="B18" s="3" t="s">
        <v>53</v>
      </c>
      <c r="C18" s="3" t="s">
        <v>54</v>
      </c>
      <c r="D18" s="3" t="s">
        <v>33</v>
      </c>
      <c r="E18" s="4">
        <v>0.3680555555555556</v>
      </c>
      <c r="F18" s="4">
        <v>0.8125</v>
      </c>
      <c r="G18" s="5">
        <v>10.666666666666666</v>
      </c>
      <c r="H18" s="3">
        <v>0.0</v>
      </c>
      <c r="I18" s="3">
        <v>1.5</v>
      </c>
      <c r="J18" s="3" t="s">
        <v>14</v>
      </c>
      <c r="K18" s="6" t="s">
        <v>34</v>
      </c>
      <c r="L18" s="5"/>
    </row>
    <row r="19">
      <c r="A19" s="2">
        <v>46226.0</v>
      </c>
      <c r="B19" s="3" t="s">
        <v>55</v>
      </c>
      <c r="C19" s="3" t="s">
        <v>56</v>
      </c>
      <c r="D19" s="3" t="s">
        <v>48</v>
      </c>
      <c r="E19" s="4">
        <v>0.3541666666666667</v>
      </c>
      <c r="F19" s="4">
        <v>0.8333333333333334</v>
      </c>
      <c r="G19" s="5">
        <v>11.5</v>
      </c>
      <c r="H19" s="3">
        <v>0.0</v>
      </c>
      <c r="I19" s="3">
        <v>2.0</v>
      </c>
      <c r="J19" s="3" t="s">
        <v>14</v>
      </c>
      <c r="K19" s="7" t="s">
        <v>15</v>
      </c>
      <c r="L19" s="5"/>
    </row>
    <row r="20">
      <c r="A20" s="2">
        <v>46196.0</v>
      </c>
      <c r="B20" s="3" t="s">
        <v>57</v>
      </c>
      <c r="C20" s="3" t="s">
        <v>58</v>
      </c>
      <c r="D20" s="3" t="s">
        <v>59</v>
      </c>
      <c r="E20" s="4">
        <v>0.4375</v>
      </c>
      <c r="F20" s="4">
        <v>0.8020833333333334</v>
      </c>
      <c r="G20" s="5">
        <v>8.75</v>
      </c>
      <c r="H20" s="3">
        <v>30.0</v>
      </c>
      <c r="I20" s="3">
        <v>0.25</v>
      </c>
      <c r="J20" s="3" t="s">
        <v>27</v>
      </c>
      <c r="L20" s="5"/>
    </row>
    <row r="21">
      <c r="A21" s="2">
        <v>46225.0</v>
      </c>
      <c r="B21" s="3" t="s">
        <v>60</v>
      </c>
      <c r="C21" s="3" t="s">
        <v>61</v>
      </c>
      <c r="D21" s="3" t="s">
        <v>52</v>
      </c>
      <c r="E21" s="4">
        <v>0.3819444444444444</v>
      </c>
      <c r="F21" s="4">
        <v>0.8541666666666666</v>
      </c>
      <c r="G21" s="5">
        <v>11.333333333333332</v>
      </c>
      <c r="H21" s="3">
        <v>0.0</v>
      </c>
      <c r="I21" s="3">
        <v>2.0</v>
      </c>
      <c r="J21" s="3" t="s">
        <v>14</v>
      </c>
      <c r="K21" s="3" t="s">
        <v>28</v>
      </c>
      <c r="L21" s="5"/>
    </row>
    <row r="22">
      <c r="A22" s="2"/>
      <c r="E22" s="4"/>
      <c r="F22" s="4"/>
      <c r="G22" s="4"/>
      <c r="H22" s="4"/>
      <c r="I22" s="4"/>
      <c r="J22" s="4"/>
      <c r="K22" s="4"/>
      <c r="L22" s="5"/>
    </row>
    <row r="23">
      <c r="A23" s="2"/>
      <c r="E23" s="4"/>
      <c r="F23" s="4"/>
      <c r="G23" s="4"/>
      <c r="H23" s="4"/>
      <c r="I23" s="4"/>
      <c r="J23" s="4"/>
      <c r="K23" s="4"/>
      <c r="L23" s="5"/>
    </row>
    <row r="24">
      <c r="A24" s="2"/>
      <c r="E24" s="4"/>
      <c r="F24" s="4"/>
      <c r="G24" s="4"/>
      <c r="H24" s="4"/>
      <c r="I24" s="4"/>
      <c r="J24" s="4"/>
      <c r="K24" s="4"/>
      <c r="L24" s="5"/>
    </row>
    <row r="25">
      <c r="A25" s="2"/>
      <c r="E25" s="4"/>
      <c r="F25" s="4"/>
      <c r="G25" s="4"/>
      <c r="H25" s="4"/>
      <c r="I25" s="4"/>
      <c r="J25" s="4"/>
      <c r="K25" s="4"/>
      <c r="L2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" t="s">
        <v>62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K4" s="10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1" t="s">
        <v>63</v>
      </c>
      <c r="B6" s="12"/>
      <c r="C6" s="11" t="s">
        <v>64</v>
      </c>
      <c r="D6" s="12"/>
      <c r="E6" s="11" t="s">
        <v>65</v>
      </c>
      <c r="F6" s="12"/>
      <c r="G6" s="11" t="s">
        <v>66</v>
      </c>
      <c r="H6" s="12"/>
      <c r="I6" s="11" t="s">
        <v>67</v>
      </c>
      <c r="J6" s="12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3"/>
      <c r="B7" s="14"/>
      <c r="C7" s="13"/>
      <c r="D7" s="14"/>
      <c r="E7" s="13"/>
      <c r="F7" s="14"/>
      <c r="G7" s="13"/>
      <c r="H7" s="14"/>
      <c r="I7" s="13"/>
      <c r="J7" s="14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5">
        <f>COUNTA(Database!A2:A1000)</f>
        <v>20</v>
      </c>
      <c r="B8" s="14"/>
      <c r="C8" s="15">
        <f>COUNTIF(Database!J2:J1000,"Present")</f>
        <v>14</v>
      </c>
      <c r="D8" s="14"/>
      <c r="E8" s="15">
        <f>COUNTIF(Database!J2:J1000,"Late")</f>
        <v>5</v>
      </c>
      <c r="F8" s="14"/>
      <c r="G8" s="15">
        <f>SUM(Database!I2:I1000)</f>
        <v>28.25</v>
      </c>
      <c r="H8" s="14"/>
      <c r="I8" s="16">
        <f>ROUND(AVERAGE(Database!G2:G1000),2)</f>
        <v>10.13</v>
      </c>
      <c r="J8" s="14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7"/>
      <c r="B9" s="18"/>
      <c r="C9" s="17"/>
      <c r="D9" s="18"/>
      <c r="E9" s="17"/>
      <c r="F9" s="18"/>
      <c r="G9" s="17"/>
      <c r="H9" s="18"/>
      <c r="I9" s="17"/>
      <c r="J9" s="1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9" t="s">
        <v>68</v>
      </c>
      <c r="C11" s="9"/>
      <c r="D11" s="9"/>
      <c r="E11" s="9"/>
      <c r="F11" s="9"/>
      <c r="G11" s="9"/>
      <c r="H11" s="19" t="s">
        <v>69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C12" s="9"/>
      <c r="D12" s="9"/>
      <c r="E12" s="9"/>
      <c r="F12" s="9"/>
      <c r="G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0" t="s">
        <v>9</v>
      </c>
      <c r="B13" s="20" t="s">
        <v>70</v>
      </c>
      <c r="C13" s="9"/>
      <c r="D13" s="9"/>
      <c r="E13" s="9"/>
      <c r="F13" s="9"/>
      <c r="G13" s="9"/>
      <c r="H13" s="20" t="s">
        <v>3</v>
      </c>
      <c r="I13" s="20" t="s">
        <v>70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1" t="s">
        <v>14</v>
      </c>
      <c r="B14" s="22">
        <f>COUNTIF(Database!J2:J1000,"Present")</f>
        <v>14</v>
      </c>
      <c r="C14" s="9"/>
      <c r="D14" s="9"/>
      <c r="E14" s="9"/>
      <c r="F14" s="9"/>
      <c r="G14" s="9"/>
      <c r="H14" s="21" t="s">
        <v>33</v>
      </c>
      <c r="I14" s="22">
        <f>COUNTIF(Database!D2:D1000,"Sales")</f>
        <v>3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21" t="s">
        <v>27</v>
      </c>
      <c r="B15" s="22">
        <f>COUNTIF(Database!J2:J1000,"Late")</f>
        <v>5</v>
      </c>
      <c r="C15" s="9"/>
      <c r="D15" s="9"/>
      <c r="E15" s="9"/>
      <c r="F15" s="9"/>
      <c r="G15" s="9"/>
      <c r="H15" s="21" t="s">
        <v>18</v>
      </c>
      <c r="I15" s="22">
        <f>COUNTIF(Database!D2:D1000,"HR")</f>
        <v>4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21" t="s">
        <v>19</v>
      </c>
      <c r="B16" s="22">
        <f>COUNTIF(Database!J2:J1000,"Half Day")</f>
        <v>1</v>
      </c>
      <c r="C16" s="9"/>
      <c r="D16" s="9"/>
      <c r="E16" s="9"/>
      <c r="F16" s="9"/>
      <c r="G16" s="9"/>
      <c r="H16" s="21" t="s">
        <v>26</v>
      </c>
      <c r="I16" s="22">
        <f>COUNTIF(Database!D2:D1000,"Finance")</f>
        <v>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21" t="s">
        <v>37</v>
      </c>
      <c r="I17" s="22">
        <f>COUNTIF(Database!D2:D1000,"IT")</f>
        <v>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21" t="s">
        <v>52</v>
      </c>
      <c r="I18" s="22">
        <f>COUNTIF(Database!D2:D1000,"Operations")</f>
        <v>2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21" t="s">
        <v>48</v>
      </c>
      <c r="I19" s="22">
        <f>COUNTIF(Database!D2:D1000,"Logistics")</f>
        <v>2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3">
    <mergeCell ref="C8:D9"/>
    <mergeCell ref="E8:F9"/>
    <mergeCell ref="A11:B12"/>
    <mergeCell ref="G8:H9"/>
    <mergeCell ref="I8:J9"/>
    <mergeCell ref="H11:I12"/>
    <mergeCell ref="A1:J4"/>
    <mergeCell ref="A6:B7"/>
    <mergeCell ref="C6:D7"/>
    <mergeCell ref="E6:F7"/>
    <mergeCell ref="G6:H7"/>
    <mergeCell ref="I6:J7"/>
    <mergeCell ref="A8:B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22.38"/>
    <col customWidth="1" min="18" max="18" width="19.0"/>
  </cols>
  <sheetData>
    <row r="1">
      <c r="A1" s="23"/>
      <c r="B1" s="23"/>
      <c r="C1" s="23"/>
      <c r="D1" s="23"/>
      <c r="E1" s="23"/>
      <c r="F1" s="23"/>
    </row>
    <row r="2">
      <c r="A2" s="23"/>
      <c r="B2" s="24"/>
      <c r="C2" s="25" t="s">
        <v>71</v>
      </c>
      <c r="E2" s="23"/>
      <c r="F2" s="23"/>
    </row>
    <row r="3">
      <c r="A3" s="23"/>
      <c r="B3" s="23"/>
      <c r="C3" s="23"/>
      <c r="D3" s="23"/>
      <c r="E3" s="23"/>
      <c r="F3" s="23"/>
      <c r="H3" s="2" t="str">
        <f>D5</f>
        <v/>
      </c>
      <c r="I3" s="3" t="str">
        <f>D7</f>
        <v/>
      </c>
      <c r="J3" s="3" t="str">
        <f>D9</f>
        <v/>
      </c>
      <c r="K3" s="3" t="str">
        <f>D11</f>
        <v/>
      </c>
      <c r="L3" s="4" t="str">
        <f>D13</f>
        <v/>
      </c>
      <c r="M3" s="4" t="str">
        <f>D15</f>
        <v/>
      </c>
      <c r="N3" s="5">
        <f>D17</f>
        <v>0</v>
      </c>
      <c r="O3" s="3" t="str">
        <f>D19</f>
        <v/>
      </c>
      <c r="P3" s="3" t="str">
        <f>D21</f>
        <v/>
      </c>
      <c r="Q3" s="3" t="str">
        <f>D23</f>
        <v/>
      </c>
      <c r="R3" s="3" t="str">
        <f>D25</f>
        <v/>
      </c>
    </row>
    <row r="4">
      <c r="A4" s="23"/>
      <c r="B4" s="23"/>
      <c r="C4" s="23"/>
      <c r="D4" s="23"/>
      <c r="E4" s="23"/>
      <c r="F4" s="23"/>
    </row>
    <row r="5">
      <c r="A5" s="23"/>
      <c r="B5" s="23"/>
      <c r="C5" s="26" t="s">
        <v>0</v>
      </c>
      <c r="D5" s="27"/>
      <c r="E5" s="23"/>
      <c r="F5" s="23"/>
    </row>
    <row r="6">
      <c r="A6" s="23"/>
      <c r="B6" s="23"/>
      <c r="C6" s="23"/>
      <c r="D6" s="23"/>
      <c r="E6" s="23"/>
      <c r="F6" s="23"/>
    </row>
    <row r="7">
      <c r="A7" s="23"/>
      <c r="B7" s="23"/>
      <c r="C7" s="26" t="s">
        <v>1</v>
      </c>
      <c r="D7" s="28"/>
      <c r="E7" s="23"/>
      <c r="F7" s="23"/>
    </row>
    <row r="8">
      <c r="A8" s="23"/>
      <c r="B8" s="23"/>
      <c r="C8" s="23"/>
      <c r="D8" s="23"/>
      <c r="E8" s="23"/>
      <c r="F8" s="23"/>
    </row>
    <row r="9">
      <c r="A9" s="23"/>
      <c r="B9" s="23"/>
      <c r="C9" s="26" t="s">
        <v>2</v>
      </c>
      <c r="D9" s="29" t="str">
        <f t="array" ref="D9">XLOOKUP(D7,'Employee List'!A2:A1000,'Employee List'!B2:B1000,"")</f>
        <v/>
      </c>
      <c r="E9" s="23"/>
      <c r="F9" s="23"/>
    </row>
    <row r="10">
      <c r="A10" s="23"/>
      <c r="B10" s="23"/>
      <c r="C10" s="23"/>
      <c r="D10" s="23"/>
      <c r="E10" s="23"/>
      <c r="F10" s="23"/>
    </row>
    <row r="11">
      <c r="A11" s="23"/>
      <c r="B11" s="23"/>
      <c r="C11" s="26" t="s">
        <v>3</v>
      </c>
      <c r="D11" s="29" t="str">
        <f t="array" ref="D11">XLOOKUP(D7,'Employee List'!A2:A1000,'Employee List'!C2:C1000,"")</f>
        <v/>
      </c>
      <c r="E11" s="23"/>
      <c r="F11" s="23"/>
    </row>
    <row r="12">
      <c r="A12" s="23"/>
      <c r="B12" s="23"/>
      <c r="C12" s="23"/>
      <c r="D12" s="23"/>
      <c r="E12" s="23"/>
      <c r="F12" s="23"/>
    </row>
    <row r="13">
      <c r="A13" s="23"/>
      <c r="B13" s="23"/>
      <c r="C13" s="26" t="s">
        <v>4</v>
      </c>
      <c r="D13" s="30"/>
      <c r="E13" s="23"/>
      <c r="F13" s="23"/>
    </row>
    <row r="14">
      <c r="A14" s="23"/>
      <c r="B14" s="23"/>
      <c r="C14" s="23"/>
      <c r="D14" s="23"/>
      <c r="E14" s="23"/>
      <c r="F14" s="23"/>
    </row>
    <row r="15">
      <c r="A15" s="23"/>
      <c r="B15" s="23"/>
      <c r="C15" s="26" t="s">
        <v>5</v>
      </c>
      <c r="D15" s="30"/>
      <c r="E15" s="23"/>
      <c r="F15" s="23"/>
    </row>
    <row r="16">
      <c r="A16" s="23"/>
      <c r="B16" s="23"/>
      <c r="C16" s="23"/>
      <c r="D16" s="23"/>
      <c r="E16" s="23"/>
      <c r="F16" s="23"/>
    </row>
    <row r="17">
      <c r="A17" s="23"/>
      <c r="B17" s="23"/>
      <c r="C17" s="26" t="s">
        <v>6</v>
      </c>
      <c r="D17" s="31">
        <f>(D15-D13)*24</f>
        <v>0</v>
      </c>
      <c r="E17" s="23"/>
      <c r="F17" s="23"/>
    </row>
    <row r="18">
      <c r="A18" s="23"/>
      <c r="B18" s="23"/>
      <c r="C18" s="23"/>
      <c r="D18" s="32"/>
      <c r="E18" s="23"/>
      <c r="F18" s="23"/>
    </row>
    <row r="19">
      <c r="A19" s="23"/>
      <c r="B19" s="23"/>
      <c r="C19" s="26" t="s">
        <v>7</v>
      </c>
      <c r="D19" s="29" t="str">
        <f t="array" ref="D19">IF(OR(D7="",D13=""),"",MAX(0,ROUND((D13-XLOOKUP(D7,'Employee List'!A:A,'Employee List'!D:D,""))*1440,0)))</f>
        <v/>
      </c>
      <c r="E19" s="23"/>
      <c r="F19" s="23"/>
    </row>
    <row r="20">
      <c r="A20" s="23"/>
      <c r="B20" s="23"/>
      <c r="C20" s="23"/>
      <c r="D20" s="23"/>
      <c r="E20" s="23"/>
      <c r="F20" s="23"/>
    </row>
    <row r="21">
      <c r="A21" s="23"/>
      <c r="B21" s="23"/>
      <c r="C21" s="33" t="s">
        <v>8</v>
      </c>
      <c r="D21" s="29" t="str">
        <f t="array" ref="D21">IF(OR(D7="",D15=""),"",MAX(0,ROUND((D15-XLOOKUP(D7,'Employee List'!A:A,'Employee List'!E:E,""))*24,2)))</f>
        <v/>
      </c>
      <c r="E21" s="23"/>
      <c r="F21" s="23"/>
    </row>
    <row r="22">
      <c r="A22" s="23"/>
      <c r="B22" s="23"/>
      <c r="C22" s="23"/>
      <c r="D22" s="23"/>
      <c r="E22" s="23"/>
      <c r="F22" s="23"/>
    </row>
    <row r="23">
      <c r="A23" s="23"/>
      <c r="B23" s="23"/>
      <c r="C23" s="26" t="s">
        <v>9</v>
      </c>
      <c r="D23" s="29" t="str">
        <f>IF(D19="","",IF(D17&lt;4,"Half Day",IF(D19&gt;0,"Late","Present")))</f>
        <v/>
      </c>
      <c r="E23" s="23"/>
      <c r="F23" s="23"/>
    </row>
    <row r="24">
      <c r="A24" s="23"/>
      <c r="B24" s="23"/>
      <c r="C24" s="23"/>
      <c r="D24" s="23"/>
      <c r="E24" s="23"/>
      <c r="F24" s="23"/>
    </row>
    <row r="25">
      <c r="A25" s="23"/>
      <c r="B25" s="23"/>
      <c r="C25" s="26" t="s">
        <v>10</v>
      </c>
      <c r="D25" s="28"/>
      <c r="E25" s="23"/>
      <c r="F25" s="23"/>
    </row>
    <row r="26">
      <c r="A26" s="23"/>
      <c r="B26" s="23"/>
      <c r="C26" s="23"/>
      <c r="D26" s="23"/>
      <c r="E26" s="23"/>
      <c r="F26" s="23"/>
    </row>
    <row r="27">
      <c r="A27" s="23"/>
      <c r="B27" s="23"/>
      <c r="C27" s="23"/>
      <c r="D27" s="23"/>
      <c r="E27" s="23"/>
      <c r="F27" s="23"/>
    </row>
    <row r="28">
      <c r="A28" s="23"/>
      <c r="B28" s="23"/>
      <c r="C28" s="23"/>
      <c r="D28" s="23"/>
      <c r="E28" s="23"/>
      <c r="F28" s="23"/>
    </row>
    <row r="29">
      <c r="A29" s="23"/>
      <c r="B29" s="23"/>
      <c r="C29" s="23"/>
      <c r="D29" s="23"/>
      <c r="E29" s="23"/>
      <c r="F29" s="23"/>
    </row>
    <row r="30">
      <c r="A30" s="23"/>
      <c r="B30" s="23"/>
      <c r="C30" s="23"/>
      <c r="D30" s="23"/>
      <c r="E30" s="23"/>
      <c r="F30" s="23"/>
    </row>
  </sheetData>
  <mergeCells count="1">
    <mergeCell ref="C2:D2"/>
  </mergeCells>
  <dataValidations>
    <dataValidation type="list" allowBlank="1" showErrorMessage="1" sqref="D7">
      <formula1>'Employee List'!$A$2:$A$1000</formula1>
    </dataValidation>
    <dataValidation type="custom" allowBlank="1" showDropDown="1" sqref="D5">
      <formula1>OR(NOT(ISERROR(DATEVALUE(D5))), AND(ISNUMBER(D5), LEFT(CELL("format", D5))="D"))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88"/>
    <col customWidth="1" min="4" max="4" width="17.5"/>
    <col customWidth="1" min="5" max="5" width="22.63"/>
  </cols>
  <sheetData>
    <row r="1">
      <c r="A1" s="34" t="s">
        <v>72</v>
      </c>
      <c r="B1" s="34" t="s">
        <v>73</v>
      </c>
      <c r="D1" s="34" t="s">
        <v>72</v>
      </c>
      <c r="E1" s="34" t="s">
        <v>10</v>
      </c>
    </row>
    <row r="2">
      <c r="A2" s="7" t="s">
        <v>74</v>
      </c>
      <c r="B2" s="7" t="s">
        <v>75</v>
      </c>
      <c r="D2" s="7" t="s">
        <v>76</v>
      </c>
      <c r="E2" s="7" t="s">
        <v>77</v>
      </c>
    </row>
    <row r="3">
      <c r="A3" s="7" t="s">
        <v>27</v>
      </c>
      <c r="B3" s="7" t="s">
        <v>78</v>
      </c>
      <c r="D3" s="7" t="s">
        <v>79</v>
      </c>
      <c r="E3" s="7" t="s">
        <v>80</v>
      </c>
    </row>
    <row r="4">
      <c r="A4" s="7" t="s">
        <v>27</v>
      </c>
      <c r="B4" s="7" t="s">
        <v>81</v>
      </c>
      <c r="D4" s="7" t="s">
        <v>82</v>
      </c>
      <c r="E4" s="7" t="s">
        <v>83</v>
      </c>
    </row>
    <row r="5">
      <c r="A5" s="7" t="s">
        <v>27</v>
      </c>
      <c r="B5" s="7" t="s">
        <v>84</v>
      </c>
      <c r="D5" s="7" t="s">
        <v>85</v>
      </c>
      <c r="E5" s="7" t="s">
        <v>86</v>
      </c>
    </row>
    <row r="6">
      <c r="A6" s="7" t="s">
        <v>19</v>
      </c>
      <c r="B6" s="7" t="s">
        <v>87</v>
      </c>
      <c r="D6" s="7" t="s">
        <v>88</v>
      </c>
      <c r="E6" s="7" t="s">
        <v>89</v>
      </c>
    </row>
    <row r="7">
      <c r="A7" s="7" t="s">
        <v>19</v>
      </c>
      <c r="B7" s="7" t="s">
        <v>90</v>
      </c>
      <c r="D7" s="7" t="s">
        <v>91</v>
      </c>
      <c r="E7" s="7" t="s">
        <v>92</v>
      </c>
    </row>
    <row r="8">
      <c r="A8" s="7" t="s">
        <v>77</v>
      </c>
      <c r="B8" s="7" t="s">
        <v>93</v>
      </c>
      <c r="D8" s="7" t="s">
        <v>94</v>
      </c>
      <c r="E8" s="7" t="s">
        <v>95</v>
      </c>
    </row>
    <row r="9">
      <c r="A9" s="7" t="s">
        <v>77</v>
      </c>
      <c r="B9" s="7" t="s">
        <v>96</v>
      </c>
      <c r="D9" s="7" t="s">
        <v>97</v>
      </c>
      <c r="E9" s="7" t="s">
        <v>98</v>
      </c>
    </row>
    <row r="10">
      <c r="A10" s="7" t="s">
        <v>99</v>
      </c>
      <c r="B10" s="7" t="s">
        <v>100</v>
      </c>
      <c r="D10" s="7" t="s">
        <v>101</v>
      </c>
      <c r="E10" s="7" t="s">
        <v>102</v>
      </c>
    </row>
    <row r="11">
      <c r="A11" s="7" t="s">
        <v>103</v>
      </c>
      <c r="B11" s="7" t="s">
        <v>104</v>
      </c>
    </row>
    <row r="12">
      <c r="A12" s="7" t="s">
        <v>105</v>
      </c>
      <c r="B12" s="7" t="s">
        <v>106</v>
      </c>
    </row>
    <row r="13">
      <c r="A13" s="7" t="s">
        <v>107</v>
      </c>
      <c r="B13" s="7" t="s">
        <v>108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16.75"/>
  </cols>
  <sheetData>
    <row r="1">
      <c r="A1" s="35" t="s">
        <v>1</v>
      </c>
      <c r="B1" s="35" t="s">
        <v>2</v>
      </c>
      <c r="C1" s="35" t="s">
        <v>3</v>
      </c>
      <c r="D1" s="35" t="s">
        <v>109</v>
      </c>
      <c r="E1" s="35" t="s">
        <v>110</v>
      </c>
    </row>
    <row r="2">
      <c r="A2" s="7" t="s">
        <v>31</v>
      </c>
      <c r="B2" s="7" t="s">
        <v>32</v>
      </c>
      <c r="C2" s="7" t="s">
        <v>33</v>
      </c>
      <c r="D2" s="36">
        <v>0.375</v>
      </c>
      <c r="E2" s="36">
        <v>0.75</v>
      </c>
    </row>
    <row r="3">
      <c r="A3" s="7" t="s">
        <v>29</v>
      </c>
      <c r="B3" s="7" t="s">
        <v>30</v>
      </c>
      <c r="C3" s="7" t="s">
        <v>18</v>
      </c>
      <c r="D3" s="36">
        <v>0.3958333333333333</v>
      </c>
      <c r="E3" s="36">
        <v>0.7708333333333334</v>
      </c>
    </row>
    <row r="4">
      <c r="A4" s="7" t="s">
        <v>24</v>
      </c>
      <c r="B4" s="7" t="s">
        <v>25</v>
      </c>
      <c r="C4" s="7" t="s">
        <v>26</v>
      </c>
      <c r="D4" s="36">
        <v>0.3541666666666667</v>
      </c>
      <c r="E4" s="36">
        <v>0.7291666666666666</v>
      </c>
    </row>
    <row r="5">
      <c r="A5" s="7" t="s">
        <v>57</v>
      </c>
      <c r="B5" s="7" t="s">
        <v>58</v>
      </c>
      <c r="C5" s="7" t="s">
        <v>59</v>
      </c>
      <c r="D5" s="36">
        <v>0.4166666666666667</v>
      </c>
      <c r="E5" s="36">
        <v>0.7916666666666666</v>
      </c>
    </row>
    <row r="6">
      <c r="A6" s="7" t="s">
        <v>40</v>
      </c>
      <c r="B6" s="7" t="s">
        <v>41</v>
      </c>
      <c r="C6" s="7" t="s">
        <v>37</v>
      </c>
      <c r="D6" s="36">
        <v>0.375</v>
      </c>
      <c r="E6" s="36">
        <v>0.75</v>
      </c>
    </row>
    <row r="7">
      <c r="A7" s="7" t="s">
        <v>21</v>
      </c>
      <c r="B7" s="7" t="s">
        <v>22</v>
      </c>
      <c r="C7" s="7" t="s">
        <v>23</v>
      </c>
      <c r="D7" s="36">
        <v>0.3333333333333333</v>
      </c>
      <c r="E7" s="36">
        <v>0.7083333333333334</v>
      </c>
    </row>
    <row r="8">
      <c r="A8" s="7" t="s">
        <v>60</v>
      </c>
      <c r="B8" s="7" t="s">
        <v>61</v>
      </c>
      <c r="C8" s="7" t="s">
        <v>52</v>
      </c>
      <c r="D8" s="36">
        <v>0.3958333333333333</v>
      </c>
      <c r="E8" s="36">
        <v>0.7708333333333334</v>
      </c>
    </row>
    <row r="9">
      <c r="A9" s="7" t="s">
        <v>11</v>
      </c>
      <c r="B9" s="7" t="s">
        <v>12</v>
      </c>
      <c r="C9" s="7" t="s">
        <v>13</v>
      </c>
      <c r="D9" s="36">
        <v>0.4166666666666667</v>
      </c>
      <c r="E9" s="36">
        <v>0.7916666666666666</v>
      </c>
    </row>
    <row r="10">
      <c r="A10" s="7" t="s">
        <v>43</v>
      </c>
      <c r="B10" s="7" t="s">
        <v>44</v>
      </c>
      <c r="C10" s="7" t="s">
        <v>45</v>
      </c>
      <c r="D10" s="36">
        <v>0.375</v>
      </c>
      <c r="E10" s="36">
        <v>0.75</v>
      </c>
    </row>
    <row r="11">
      <c r="A11" s="7" t="s">
        <v>55</v>
      </c>
      <c r="B11" s="7" t="s">
        <v>56</v>
      </c>
      <c r="C11" s="7" t="s">
        <v>48</v>
      </c>
      <c r="D11" s="36">
        <v>0.375</v>
      </c>
      <c r="E11" s="36">
        <v>0.75</v>
      </c>
    </row>
    <row r="12">
      <c r="A12" s="7" t="s">
        <v>16</v>
      </c>
      <c r="B12" s="7" t="s">
        <v>17</v>
      </c>
      <c r="C12" s="7" t="s">
        <v>18</v>
      </c>
      <c r="D12" s="36">
        <v>0.3958333333333333</v>
      </c>
      <c r="E12" s="36">
        <v>0.7708333333333334</v>
      </c>
    </row>
    <row r="13">
      <c r="A13" s="7" t="s">
        <v>53</v>
      </c>
      <c r="B13" s="7" t="s">
        <v>54</v>
      </c>
      <c r="C13" s="7" t="s">
        <v>33</v>
      </c>
      <c r="D13" s="36">
        <v>0.375</v>
      </c>
      <c r="E13" s="36">
        <v>0.75</v>
      </c>
    </row>
    <row r="14">
      <c r="A14" s="7" t="s">
        <v>35</v>
      </c>
      <c r="B14" s="7" t="s">
        <v>36</v>
      </c>
      <c r="C14" s="7" t="s">
        <v>37</v>
      </c>
      <c r="D14" s="36">
        <v>0.375</v>
      </c>
      <c r="E14" s="36">
        <v>0.75</v>
      </c>
    </row>
    <row r="15">
      <c r="A15" s="7" t="s">
        <v>111</v>
      </c>
      <c r="B15" s="7" t="s">
        <v>112</v>
      </c>
      <c r="C15" s="7" t="s">
        <v>26</v>
      </c>
      <c r="D15" s="36">
        <v>0.3541666666666667</v>
      </c>
      <c r="E15" s="36">
        <v>0.7291666666666666</v>
      </c>
    </row>
    <row r="16">
      <c r="A16" s="7" t="s">
        <v>50</v>
      </c>
      <c r="B16" s="7" t="s">
        <v>51</v>
      </c>
      <c r="C16" s="7" t="s">
        <v>52</v>
      </c>
      <c r="D16" s="36">
        <v>0.375</v>
      </c>
      <c r="E16" s="36">
        <v>0.75</v>
      </c>
    </row>
    <row r="17">
      <c r="A17" s="7" t="s">
        <v>113</v>
      </c>
      <c r="B17" s="7" t="s">
        <v>114</v>
      </c>
      <c r="C17" s="7" t="s">
        <v>59</v>
      </c>
      <c r="D17" s="36">
        <v>0.4166666666666667</v>
      </c>
      <c r="E17" s="36">
        <v>0.7916666666666666</v>
      </c>
    </row>
    <row r="18">
      <c r="A18" s="7" t="s">
        <v>115</v>
      </c>
      <c r="B18" s="7" t="s">
        <v>116</v>
      </c>
      <c r="C18" s="7" t="s">
        <v>23</v>
      </c>
      <c r="D18" s="36">
        <v>0.3333333333333333</v>
      </c>
      <c r="E18" s="36">
        <v>0.7083333333333334</v>
      </c>
    </row>
    <row r="19">
      <c r="A19" s="7" t="s">
        <v>117</v>
      </c>
      <c r="B19" s="7" t="s">
        <v>118</v>
      </c>
      <c r="C19" s="7" t="s">
        <v>13</v>
      </c>
      <c r="D19" s="36">
        <v>0.4166666666666667</v>
      </c>
      <c r="E19" s="36">
        <v>0.7916666666666666</v>
      </c>
    </row>
    <row r="20">
      <c r="A20" s="7" t="s">
        <v>119</v>
      </c>
      <c r="B20" s="7" t="s">
        <v>120</v>
      </c>
      <c r="C20" s="7" t="s">
        <v>45</v>
      </c>
      <c r="D20" s="36">
        <v>0.375</v>
      </c>
      <c r="E20" s="36">
        <v>0.75</v>
      </c>
    </row>
    <row r="21">
      <c r="A21" s="7" t="s">
        <v>46</v>
      </c>
      <c r="B21" s="7" t="s">
        <v>47</v>
      </c>
      <c r="C21" s="7" t="s">
        <v>48</v>
      </c>
      <c r="D21" s="36">
        <v>0.375</v>
      </c>
      <c r="E21" s="36">
        <v>0.75</v>
      </c>
    </row>
  </sheetData>
  <drawing r:id="rId1"/>
</worksheet>
</file>